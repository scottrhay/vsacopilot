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eOp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angeOps" displayName="RangeOps" ref="A1:E22" headerRowCount="1">
  <autoFilter ref="A1:E22"/>
  <tableColumns count="5">
    <tableColumn id="1" name="Month"/>
    <tableColumn id="2" name="Pad"/>
    <tableColumn id="3" name="BookedHours"/>
    <tableColumn id="4" name="ActualHours"/>
    <tableColumn id="5" name="Reven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2" customWidth="1" min="5" max="5"/>
  </cols>
  <sheetData>
    <row r="1">
      <c r="A1" t="inlineStr">
        <is>
          <t>Month</t>
        </is>
      </c>
      <c r="B1" t="inlineStr">
        <is>
          <t>Pad</t>
        </is>
      </c>
      <c r="C1" t="inlineStr">
        <is>
          <t>BookedHours</t>
        </is>
      </c>
      <c r="D1" t="inlineStr">
        <is>
          <t>ActualHours</t>
        </is>
      </c>
      <c r="E1" t="inlineStr">
        <is>
          <t>Revenue</t>
        </is>
      </c>
    </row>
    <row r="2">
      <c r="A2" t="inlineStr">
        <is>
          <t>Jan</t>
        </is>
      </c>
      <c r="B2" t="inlineStr">
        <is>
          <t>Pad A</t>
        </is>
      </c>
      <c r="C2" t="n">
        <v>60</v>
      </c>
      <c r="D2" t="n">
        <v>44</v>
      </c>
      <c r="E2" t="n">
        <v>70400</v>
      </c>
    </row>
    <row r="3">
      <c r="A3" t="inlineStr">
        <is>
          <t>Jan</t>
        </is>
      </c>
      <c r="B3" t="inlineStr">
        <is>
          <t>Pad B</t>
        </is>
      </c>
      <c r="C3" t="n">
        <v>0</v>
      </c>
      <c r="D3" t="n">
        <v>0</v>
      </c>
      <c r="E3" t="n">
        <v>0</v>
      </c>
    </row>
    <row r="4">
      <c r="A4" t="inlineStr">
        <is>
          <t>Jan</t>
        </is>
      </c>
      <c r="B4" t="inlineStr">
        <is>
          <t>Pad B (night ops)</t>
        </is>
      </c>
      <c r="C4" t="n">
        <v>0</v>
      </c>
      <c r="D4" t="n">
        <v>0</v>
      </c>
      <c r="E4" t="n">
        <v>0</v>
      </c>
    </row>
    <row r="5">
      <c r="A5" t="inlineStr">
        <is>
          <t>Jan</t>
        </is>
      </c>
      <c r="B5" t="inlineStr">
        <is>
          <t>Suborbital</t>
        </is>
      </c>
      <c r="C5" t="n">
        <v>0</v>
      </c>
      <c r="D5" t="n">
        <v>0</v>
      </c>
      <c r="E5" t="n">
        <v>0</v>
      </c>
    </row>
    <row r="6">
      <c r="A6" t="inlineStr">
        <is>
          <t>Feb</t>
        </is>
      </c>
      <c r="B6" t="inlineStr">
        <is>
          <t>Pad A</t>
        </is>
      </c>
      <c r="C6" t="n">
        <v>0</v>
      </c>
      <c r="D6" t="n">
        <v>0</v>
      </c>
      <c r="E6" t="n">
        <v>0</v>
      </c>
    </row>
    <row r="7">
      <c r="A7" t="inlineStr">
        <is>
          <t>Feb</t>
        </is>
      </c>
      <c r="B7" t="inlineStr">
        <is>
          <t>Pad B</t>
        </is>
      </c>
      <c r="C7" t="n">
        <v>40</v>
      </c>
      <c r="D7" t="n">
        <v>20</v>
      </c>
      <c r="E7" t="n">
        <v>35000</v>
      </c>
    </row>
    <row r="8">
      <c r="A8" t="inlineStr">
        <is>
          <t>Feb</t>
        </is>
      </c>
      <c r="B8" t="inlineStr">
        <is>
          <t>Suborbital</t>
        </is>
      </c>
      <c r="C8" t="n">
        <v>120</v>
      </c>
      <c r="D8" t="n">
        <v>102</v>
      </c>
      <c r="E8" t="n">
        <v>147900</v>
      </c>
    </row>
    <row r="9">
      <c r="A9" t="inlineStr">
        <is>
          <t>Mar</t>
        </is>
      </c>
      <c r="B9" t="inlineStr">
        <is>
          <t>Pad A</t>
        </is>
      </c>
      <c r="C9" t="n">
        <v>120</v>
      </c>
      <c r="D9" t="n">
        <v>98</v>
      </c>
      <c r="E9" t="n">
        <v>171500</v>
      </c>
    </row>
    <row r="10">
      <c r="A10" t="inlineStr">
        <is>
          <t>Mar</t>
        </is>
      </c>
      <c r="B10" t="inlineStr">
        <is>
          <t>Pad B</t>
        </is>
      </c>
      <c r="C10" t="n">
        <v>0</v>
      </c>
      <c r="D10" t="n">
        <v>0</v>
      </c>
      <c r="E10" t="n">
        <v>0</v>
      </c>
    </row>
    <row r="11">
      <c r="A11" t="inlineStr">
        <is>
          <t>Mar</t>
        </is>
      </c>
      <c r="B11" t="inlineStr">
        <is>
          <t>Pad B (night ops)</t>
        </is>
      </c>
      <c r="C11" t="n">
        <v>0</v>
      </c>
      <c r="D11" t="n">
        <v>0</v>
      </c>
      <c r="E11" t="n">
        <v>0</v>
      </c>
    </row>
    <row r="12">
      <c r="A12" t="inlineStr">
        <is>
          <t>Mar</t>
        </is>
      </c>
      <c r="B12" t="inlineStr">
        <is>
          <t>Suborbital</t>
        </is>
      </c>
      <c r="C12" t="n">
        <v>60</v>
      </c>
      <c r="D12" t="n">
        <v>61</v>
      </c>
      <c r="E12" t="n">
        <v>88450</v>
      </c>
    </row>
    <row r="13">
      <c r="A13" t="inlineStr">
        <is>
          <t>Apr</t>
        </is>
      </c>
      <c r="B13" t="inlineStr">
        <is>
          <t>Pad A</t>
        </is>
      </c>
      <c r="C13" t="n">
        <v>120</v>
      </c>
      <c r="D13" t="n">
        <v>114</v>
      </c>
      <c r="E13" t="n">
        <v>199500</v>
      </c>
    </row>
    <row r="14">
      <c r="A14" t="inlineStr">
        <is>
          <t>Apr</t>
        </is>
      </c>
      <c r="B14" t="inlineStr">
        <is>
          <t>Pad B</t>
        </is>
      </c>
      <c r="C14" t="n">
        <v>40</v>
      </c>
      <c r="D14" t="n">
        <v>21</v>
      </c>
      <c r="E14" t="n">
        <v>36750</v>
      </c>
    </row>
    <row r="15">
      <c r="A15" t="inlineStr">
        <is>
          <t>Apr</t>
        </is>
      </c>
      <c r="B15" t="inlineStr">
        <is>
          <t>Suborbital</t>
        </is>
      </c>
      <c r="C15" t="n">
        <v>40</v>
      </c>
      <c r="D15" t="n">
        <v>38</v>
      </c>
      <c r="E15" t="n">
        <v>55100</v>
      </c>
    </row>
    <row r="16">
      <c r="A16" t="inlineStr">
        <is>
          <t>May</t>
        </is>
      </c>
      <c r="B16" t="inlineStr">
        <is>
          <t>Pad A</t>
        </is>
      </c>
      <c r="C16" t="n">
        <v>0</v>
      </c>
      <c r="D16" t="n">
        <v>0</v>
      </c>
      <c r="E16" t="n">
        <v>0</v>
      </c>
    </row>
    <row r="17">
      <c r="A17" t="inlineStr">
        <is>
          <t>May</t>
        </is>
      </c>
      <c r="B17" t="inlineStr">
        <is>
          <t>Pad A (night ops)</t>
        </is>
      </c>
      <c r="C17" t="n">
        <v>0</v>
      </c>
      <c r="D17" t="n">
        <v>0</v>
      </c>
      <c r="E17" t="n">
        <v>0</v>
      </c>
    </row>
    <row r="18">
      <c r="A18" t="inlineStr">
        <is>
          <t>May</t>
        </is>
      </c>
      <c r="B18" t="inlineStr">
        <is>
          <t>Pad B</t>
        </is>
      </c>
      <c r="C18" t="n">
        <v>80</v>
      </c>
      <c r="D18" t="n">
        <v>89</v>
      </c>
      <c r="E18" t="n">
        <v>142400</v>
      </c>
    </row>
    <row r="19">
      <c r="A19" t="inlineStr">
        <is>
          <t>May</t>
        </is>
      </c>
      <c r="B19" t="inlineStr">
        <is>
          <t>Suborbital</t>
        </is>
      </c>
      <c r="C19" t="n">
        <v>80</v>
      </c>
      <c r="D19" t="n">
        <v>84</v>
      </c>
      <c r="E19" t="n">
        <v>134400</v>
      </c>
    </row>
    <row r="20">
      <c r="A20" t="inlineStr">
        <is>
          <t>Jun</t>
        </is>
      </c>
      <c r="B20" t="inlineStr">
        <is>
          <t>Pad A</t>
        </is>
      </c>
      <c r="C20" t="n">
        <v>40</v>
      </c>
      <c r="D20" t="n">
        <v>30</v>
      </c>
      <c r="E20" t="n">
        <v>43500</v>
      </c>
    </row>
    <row r="21">
      <c r="A21" t="inlineStr">
        <is>
          <t>Jun</t>
        </is>
      </c>
      <c r="B21" t="inlineStr">
        <is>
          <t>Pad B</t>
        </is>
      </c>
      <c r="C21" t="n">
        <v>120</v>
      </c>
      <c r="D21" t="n">
        <v>126</v>
      </c>
      <c r="E21" t="n">
        <v>201600</v>
      </c>
    </row>
    <row r="22">
      <c r="A22" t="inlineStr">
        <is>
          <t>Jun</t>
        </is>
      </c>
      <c r="B22" t="inlineStr">
        <is>
          <t>Suborbital</t>
        </is>
      </c>
      <c r="C22" t="n">
        <v>60</v>
      </c>
      <c r="D22" t="n">
        <v>39</v>
      </c>
      <c r="E22" t="n">
        <v>56550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Inherited from the FY25 workbook - nobody remembers what this does (demo: 'explain this formula'):</t>
        </is>
      </c>
    </row>
    <row r="3">
      <c r="A3" t="inlineStr">
        <is>
          <t>Q1 weighted revenue per actual hour (Pads A/B only):</t>
        </is>
      </c>
    </row>
    <row r="4">
      <c r="B4">
        <f>SUMPRODUCT((RangeOps[ActualHours])*(RangeOps[Revenue])*(LEFT(RangeOps[Pad],3)="Pad"))/MAX(1,SUMPRODUCT((RangeOps[ActualHours])*(LEFT(RangeOps[Pad],3)="Pad")))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2026-07-08T16:19:09Z</dcterms:created>
  <dcterms:modified xmlns:dcterms="http://purl.org/dc/terms/" xmlns:xsi="http://www.w3.org/2001/XMLSchema-instance" xsi:type="dcterms:W3CDTF">2026-07-08T16:19:09Z</dcterms:modified>
</cp:coreProperties>
</file>